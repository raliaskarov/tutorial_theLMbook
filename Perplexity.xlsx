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<sst xmlns="http://schemas.openxmlformats.org/spreadsheetml/2006/main" count="25" uniqueCount="25">
  <si>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>word</t>
  </si>
  <si>
    <t>context</t>
  </si>
  <si>
    <t>P</t>
  </si>
  <si>
    <t>Log(P)</t>
  </si>
  <si>
    <t>-Log(P)</t>
  </si>
  <si>
    <t>1/p</t>
  </si>
  <si>
    <t>we</t>
  </si>
  <si>
    <t>are</t>
  </si>
  <si>
    <t>evaluating</t>
  </si>
  <si>
    <t xml:space="preserve">we, are</t>
  </si>
  <si>
    <t>a</t>
  </si>
  <si>
    <t xml:space="preserve">we, are, evaluating</t>
  </si>
  <si>
    <t>language</t>
  </si>
  <si>
    <t xml:space="preserve">are, evaluating, a</t>
  </si>
  <si>
    <t>model</t>
  </si>
  <si>
    <t xml:space="preserve">evaluating, a, language</t>
  </si>
  <si>
    <t>for</t>
  </si>
  <si>
    <t xml:space="preserve">a, language, modle</t>
  </si>
  <si>
    <t>English</t>
  </si>
  <si>
    <t xml:space="preserve">language, model, for</t>
  </si>
  <si>
    <t>e</t>
  </si>
  <si>
    <t>count</t>
  </si>
  <si>
    <t>average</t>
  </si>
  <si>
    <t>e^average</t>
  </si>
  <si>
    <t xml:space="preserve">geometric mean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</si>
</sst>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">
    <font>
      <sz val="11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4" xfId="0" applyNumberFormat="1"/>
    <xf fontId="0" fillId="0" borderId="0" numFmtId="0" xfId="0" quotePrefix="1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L14" activeCellId="0" sqref="L14"/>
    </sheetView>
  </sheetViews>
  <sheetFormatPr defaultRowHeight="14.25"/>
  <cols>
    <col bestFit="1" customWidth="1" min="5" max="5" width="10.140625"/>
    <col bestFit="1" customWidth="1" min="6" max="6" width="21.85546875"/>
    <col customWidth="1" min="7" max="7" style="1" width="10.25390625"/>
    <col customWidth="1" min="8" max="10" width="10.25390625"/>
  </cols>
  <sheetData>
    <row r="11">
      <c r="E11" t="s">
        <v>0</v>
      </c>
      <c r="F11" t="s">
        <v>1</v>
      </c>
      <c r="G11" s="1" t="s">
        <v>2</v>
      </c>
      <c r="H11" s="2" t="s">
        <v>3</v>
      </c>
      <c r="I11" s="2" t="s">
        <v>4</v>
      </c>
      <c r="J11" t="s">
        <v>5</v>
      </c>
    </row>
    <row r="12">
      <c r="E12" t="s">
        <v>6</v>
      </c>
      <c r="G12" s="1">
        <v>0.10000000000000001</v>
      </c>
      <c r="H12" s="3">
        <f t="shared" ref="H12:H19" si="0">LN(G12)</f>
        <v>-2.3025850929940455</v>
      </c>
      <c r="I12" s="1">
        <f t="shared" ref="I12:I19" si="1">-H12</f>
        <v>2.3025850929940455</v>
      </c>
      <c r="J12" s="1">
        <f t="shared" ref="J12:J19" si="2">1/G12</f>
        <v>10</v>
      </c>
    </row>
    <row r="13">
      <c r="E13" t="s">
        <v>7</v>
      </c>
      <c r="F13" t="s">
        <v>6</v>
      </c>
      <c r="G13" s="1">
        <v>0.20000000000000001</v>
      </c>
      <c r="H13" s="3">
        <f t="shared" si="0"/>
        <v>-1.6094379124341003</v>
      </c>
      <c r="I13" s="1">
        <f t="shared" si="1"/>
        <v>1.6094379124341003</v>
      </c>
      <c r="J13" s="1">
        <f t="shared" si="2"/>
        <v>5</v>
      </c>
    </row>
    <row r="14">
      <c r="E14" t="s">
        <v>8</v>
      </c>
      <c r="F14" t="s">
        <v>9</v>
      </c>
      <c r="G14" s="1">
        <v>0.050000000000000003</v>
      </c>
      <c r="H14" s="3">
        <f t="shared" si="0"/>
        <v>-2.9957322735539909</v>
      </c>
      <c r="I14" s="1">
        <f t="shared" si="1"/>
        <v>2.9957322735539909</v>
      </c>
      <c r="J14" s="1">
        <f t="shared" si="2"/>
        <v>20</v>
      </c>
    </row>
    <row r="15">
      <c r="E15" t="s">
        <v>10</v>
      </c>
      <c r="F15" t="s">
        <v>11</v>
      </c>
      <c r="G15" s="1">
        <v>0.5</v>
      </c>
      <c r="H15" s="3">
        <f t="shared" si="0"/>
        <v>-0.69314718055994529</v>
      </c>
      <c r="I15" s="1">
        <f t="shared" si="1"/>
        <v>0.69314718055994529</v>
      </c>
      <c r="J15" s="1">
        <f t="shared" si="2"/>
        <v>2</v>
      </c>
    </row>
    <row r="16">
      <c r="E16" t="s">
        <v>12</v>
      </c>
      <c r="F16" t="s">
        <v>13</v>
      </c>
      <c r="G16" s="1">
        <v>0.29999999999999999</v>
      </c>
      <c r="H16" s="3">
        <f t="shared" si="0"/>
        <v>-1.2039728043259361</v>
      </c>
      <c r="I16" s="1">
        <f t="shared" si="1"/>
        <v>1.2039728043259361</v>
      </c>
      <c r="J16" s="1">
        <f t="shared" si="2"/>
        <v>3.3333333333333335</v>
      </c>
    </row>
    <row r="17">
      <c r="E17" t="s">
        <v>14</v>
      </c>
      <c r="F17" t="s">
        <v>15</v>
      </c>
      <c r="G17" s="1">
        <v>0.40000000000000002</v>
      </c>
      <c r="H17" s="3">
        <f t="shared" si="0"/>
        <v>-0.916290731874155</v>
      </c>
      <c r="I17" s="1">
        <f t="shared" si="1"/>
        <v>0.916290731874155</v>
      </c>
      <c r="J17" s="1">
        <f t="shared" si="2"/>
        <v>2.5</v>
      </c>
    </row>
    <row r="18">
      <c r="E18" t="s">
        <v>16</v>
      </c>
      <c r="F18" t="s">
        <v>17</v>
      </c>
      <c r="G18" s="1">
        <v>0.14999999999999999</v>
      </c>
      <c r="H18" s="3">
        <f t="shared" si="0"/>
        <v>-1.8971199848858813</v>
      </c>
      <c r="I18" s="1">
        <f t="shared" si="1"/>
        <v>1.8971199848858813</v>
      </c>
      <c r="J18" s="1">
        <f t="shared" si="2"/>
        <v>6.666666666666667</v>
      </c>
    </row>
    <row r="19">
      <c r="E19" t="s">
        <v>18</v>
      </c>
      <c r="F19" t="s">
        <v>19</v>
      </c>
      <c r="G19" s="1">
        <v>0.25</v>
      </c>
      <c r="H19" s="3">
        <f t="shared" si="0"/>
        <v>-1.3862943611198906</v>
      </c>
      <c r="I19" s="1">
        <f t="shared" si="1"/>
        <v>1.3862943611198906</v>
      </c>
      <c r="J19" s="1">
        <f t="shared" si="2"/>
        <v>4</v>
      </c>
    </row>
    <row r="20">
      <c r="H20" s="3"/>
      <c r="I20" s="1"/>
    </row>
    <row r="21">
      <c r="H21" t="s">
        <v>20</v>
      </c>
      <c r="I21" s="1">
        <f>EXP(1)</f>
        <v>2.7182818284590451</v>
      </c>
    </row>
    <row r="22">
      <c r="H22" t="s">
        <v>21</v>
      </c>
      <c r="I22">
        <f>COUNT(I12:I19)</f>
        <v>8</v>
      </c>
    </row>
    <row r="23">
      <c r="H23" s="3" t="s">
        <v>22</v>
      </c>
      <c r="I23" s="1">
        <f>AVERAGE(I12:I19)</f>
        <v>1.6255725427184931</v>
      </c>
    </row>
    <row r="24">
      <c r="H24" s="3" t="s">
        <v>23</v>
      </c>
      <c r="I24" s="1">
        <f>I21^I23</f>
        <v>5.0813274815461469</v>
      </c>
    </row>
    <row r="25">
      <c r="H25" t="s">
        <v>24</v>
      </c>
      <c r="I25" s="1">
        <f>PRODUCT(J12:J19)^(1/I22)</f>
        <v>5.0813274815461478</v>
      </c>
    </row>
    <row r="26">
      <c r="I26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ALIASKAROV</dc:creator>
  <cp:revision>1</cp:revision>
  <dcterms:created xsi:type="dcterms:W3CDTF">2026-05-08T06:39:32Z</dcterms:created>
  <dcterms:modified xsi:type="dcterms:W3CDTF">2026-07-03T19:45:51Z</dcterms:modified>
</cp:coreProperties>
</file>